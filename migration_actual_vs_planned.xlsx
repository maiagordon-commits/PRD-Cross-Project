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Weekly Detail" sheetId="2" r:id="rId2"/>
    <sheet name="Migration Phases" sheetId="3" r:id="rId3"/>
    <sheet name="Phase Timeline" sheetId="4" r:id="rId4"/>
    <sheet name="Projections" sheetId="5" r:id="rId5"/>
    <sheet name="Chart" sheetId="6" r:id="rId6"/>
  </sheets>
  <calcPr calcId="124519" fullCalcOnLoad="1"/>
</workbook>
</file>

<file path=xl/sharedStrings.xml><?xml version="1.0" encoding="utf-8"?>
<sst xmlns="http://schemas.openxmlformats.org/spreadsheetml/2006/main" count="131" uniqueCount="88">
  <si>
    <t>Week Starting</t>
  </si>
  <si>
    <t>Weekly Actual</t>
  </si>
  <si>
    <t>Cumulative Actual</t>
  </si>
  <si>
    <t>Planned Cumulative</t>
  </si>
  <si>
    <t>Variance (Actual - Planned)</t>
  </si>
  <si>
    <t>4/13/2026</t>
  </si>
  <si>
    <t>4/20/2026</t>
  </si>
  <si>
    <t>4/27/2026</t>
  </si>
  <si>
    <t>5/4/2026</t>
  </si>
  <si>
    <t>5/11/2026</t>
  </si>
  <si>
    <t>5/18/2026</t>
  </si>
  <si>
    <t>5/25/2026</t>
  </si>
  <si>
    <t>6/1/2026</t>
  </si>
  <si>
    <t>6/8/2026</t>
  </si>
  <si>
    <t>6/15/2026</t>
  </si>
  <si>
    <t>6/22/2026</t>
  </si>
  <si>
    <t>6/29/2026</t>
  </si>
  <si>
    <t>7/6/2026</t>
  </si>
  <si>
    <t>Lite</t>
  </si>
  <si>
    <t>Pro</t>
  </si>
  <si>
    <t>Enterprise</t>
  </si>
  <si>
    <t>Weekly Total</t>
  </si>
  <si>
    <t>Phase</t>
  </si>
  <si>
    <t>Start</t>
  </si>
  <si>
    <t>End</t>
  </si>
  <si>
    <t>Days</t>
  </si>
  <si>
    <t>Avg Res/Day</t>
  </si>
  <si>
    <t>Total Reservations</t>
  </si>
  <si>
    <t>Accounts (Phase)</t>
  </si>
  <si>
    <t>Avg Res/Account</t>
  </si>
  <si>
    <t>Processing @ 900/min</t>
  </si>
  <si>
    <t>Processing @ 8,024/min</t>
  </si>
  <si>
    <t>Processing @ 14,000/min</t>
  </si>
  <si>
    <t>Ramp-up</t>
  </si>
  <si>
    <t>8/3/2026</t>
  </si>
  <si>
    <t>2h 38m</t>
  </si>
  <si>
    <t>18m</t>
  </si>
  <si>
    <t>10m</t>
  </si>
  <si>
    <t>Steady Growth</t>
  </si>
  <si>
    <t>8/4/2026</t>
  </si>
  <si>
    <t>9/22/2026</t>
  </si>
  <si>
    <t>4h 12m</t>
  </si>
  <si>
    <t>28m</t>
  </si>
  <si>
    <t>16m</t>
  </si>
  <si>
    <t>Acceleration</t>
  </si>
  <si>
    <t>9/23/2026</t>
  </si>
  <si>
    <t>11/11/2026</t>
  </si>
  <si>
    <t>5h 48m</t>
  </si>
  <si>
    <t>39m</t>
  </si>
  <si>
    <t>22m</t>
  </si>
  <si>
    <t>Full Speed</t>
  </si>
  <si>
    <t>11/12/2026</t>
  </si>
  <si>
    <t>12/31/2026</t>
  </si>
  <si>
    <t>7h 22m</t>
  </si>
  <si>
    <t>50m</t>
  </si>
  <si>
    <t>TOTAL</t>
  </si>
  <si>
    <t>End Date</t>
  </si>
  <si>
    <t>Accounts This Phase</t>
  </si>
  <si>
    <t>Cumulative Accounts</t>
  </si>
  <si>
    <t>Current status (as of 6/15/2026)</t>
  </si>
  <si>
    <t>Recent run rate (accounts/day)</t>
  </si>
  <si>
    <t>Goal</t>
  </si>
  <si>
    <t>Target</t>
  </si>
  <si>
    <t>Scenario</t>
  </si>
  <si>
    <t>Accounts/Day</t>
  </si>
  <si>
    <t>Days Remaining</t>
  </si>
  <si>
    <t>Projected Finish</t>
  </si>
  <si>
    <t>Planned Finish</t>
  </si>
  <si>
    <t>Days Ahead of Plan</t>
  </si>
  <si>
    <t>Near-term goal (8,500 accounts)</t>
  </si>
  <si>
    <t>Current pace</t>
  </si>
  <si>
    <t>07/02/2026</t>
  </si>
  <si>
    <t>7/13/2026</t>
  </si>
  <si>
    <t>Ramp-up phase pace</t>
  </si>
  <si>
    <t>07/06/2026</t>
  </si>
  <si>
    <t>Near-term plan pace</t>
  </si>
  <si>
    <t>07/16/2026</t>
  </si>
  <si>
    <t>End of Ramp-up (11,509 accounts)</t>
  </si>
  <si>
    <t>07/13/2026</t>
  </si>
  <si>
    <t>07/19/2026</t>
  </si>
  <si>
    <t>08/03/2026</t>
  </si>
  <si>
    <t>Full program (~35,001 accounts)</t>
  </si>
  <si>
    <t>10/06/2026</t>
  </si>
  <si>
    <t>10/29/2026</t>
  </si>
  <si>
    <t>12/29/2026</t>
  </si>
  <si>
    <t>Days Ahead of Plan = positive means finishing BEFORE planned date. Based on 3,576 accounts as of 6/15/2026.</t>
  </si>
  <si>
    <t>Note: Full program projection assumes constant account pace. Later phases (Steady Growth → Full Speed) require 2–4× more reservations per account; reservation throughput (900 vs 8,024 vs 14,000/min) may constrain finish date even if account onboarding stays ahead.</t>
  </si>
  <si>
    <t>To use in Google Sheets: Upload to Google Drive → Open with Google Sheets. Edit Data / Migration Phases / Projections tabs. Tabs: Data, Weekly Detail, Migration Phases, Phase Timeline, Projections, Chart.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</si>
</sst>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+#,##0;-#,##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2E9E5B"/>
      <name val="Calibri"/>
      <family val="2"/>
      <scheme val="minor"/>
    </font>
    <font>
      <i/>
      <sz val="11"/>
      <color rgb="FF64748B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4F8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5" fontId="2" fillId="0" borderId="1" xfId="0" applyNumberFormat="1" applyFont="1" applyBorder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Room Migration Progress — Actual vs Planned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Actual (cumulative)</c:v>
          </c:tx>
          <c:spPr>
            <a:ln w="31750">
              <a:solidFill>
                <a:srgbClr val="2E9E5B"/>
              </a:solidFill>
            </a:ln>
          </c:spPr>
          <c:marker>
            <c:symbol val="circle"/>
            <c:size val="7"/>
            <c:spPr>
              <a:solidFill>
                <a:srgbClr val="2E9E5B"/>
              </a:solidFill>
            </c:spPr>
          </c:marker>
          <c:cat>
            <c:strRef>
              <c:f>Data!$A$2:$A$14</c:f>
              <c:strCache>
                <c:ptCount val="13"/>
                <c:pt idx="0">
                  <c:v>4/13/2026</c:v>
                </c:pt>
                <c:pt idx="1">
                  <c:v>4/20/2026</c:v>
                </c:pt>
                <c:pt idx="2">
                  <c:v>4/27/2026</c:v>
                </c:pt>
                <c:pt idx="3">
                  <c:v>5/4/2026</c:v>
                </c:pt>
                <c:pt idx="4">
                  <c:v>5/11/2026</c:v>
                </c:pt>
                <c:pt idx="5">
                  <c:v>5/18/2026</c:v>
                </c:pt>
                <c:pt idx="6">
                  <c:v>5/25/2026</c:v>
                </c:pt>
                <c:pt idx="7">
                  <c:v>6/1/2026</c:v>
                </c:pt>
                <c:pt idx="8">
                  <c:v>6/8/2026</c:v>
                </c:pt>
                <c:pt idx="9">
                  <c:v>6/15/2026</c:v>
                </c:pt>
                <c:pt idx="10">
                  <c:v>6/22/2026</c:v>
                </c:pt>
                <c:pt idx="11">
                  <c:v>6/29/2026</c:v>
                </c:pt>
                <c:pt idx="12">
                  <c:v>7/6/2026</c:v>
                </c:pt>
              </c:strCache>
            </c:strRef>
          </c:cat>
          <c:val>
            <c:numRef>
              <c:f>Data!$C$2:$C$14</c:f>
              <c:numCache>
                <c:formatCode>General</c:formatCode>
                <c:ptCount val="13"/>
                <c:pt idx="0">
                  <c:v>5</c:v>
                </c:pt>
                <c:pt idx="1">
                  <c:v>20</c:v>
                </c:pt>
                <c:pt idx="2">
                  <c:v>59</c:v>
                </c:pt>
                <c:pt idx="3">
                  <c:v>68</c:v>
                </c:pt>
                <c:pt idx="4">
                  <c:v>87</c:v>
                </c:pt>
                <c:pt idx="5">
                  <c:v>126</c:v>
                </c:pt>
                <c:pt idx="6">
                  <c:v>383</c:v>
                </c:pt>
                <c:pt idx="7">
                  <c:v>628</c:v>
                </c:pt>
                <c:pt idx="8">
                  <c:v>1632</c:v>
                </c:pt>
                <c:pt idx="9">
                  <c:v>3576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1"/>
          <c:order val="1"/>
          <c:tx>
            <c:v>Planned (cumulative)</c:v>
          </c:tx>
          <c:spPr>
            <a:ln w="25400">
              <a:solidFill>
                <a:srgbClr val="1B4F8A"/>
              </a:solidFill>
              <a:prstDash val="dash"/>
            </a:ln>
          </c:spPr>
          <c:marker>
            <c:symbol val="square"/>
            <c:size val="6"/>
            <c:spPr>
              <a:solidFill>
                <a:srgbClr val="1B4F8A"/>
              </a:solidFill>
            </c:spPr>
          </c:marker>
          <c:cat>
            <c:strRef>
              <c:f>Data!$A$2:$A$14</c:f>
              <c:strCache>
                <c:ptCount val="13"/>
                <c:pt idx="0">
                  <c:v>4/13/2026</c:v>
                </c:pt>
                <c:pt idx="1">
                  <c:v>4/20/2026</c:v>
                </c:pt>
                <c:pt idx="2">
                  <c:v>4/27/2026</c:v>
                </c:pt>
                <c:pt idx="3">
                  <c:v>5/4/2026</c:v>
                </c:pt>
                <c:pt idx="4">
                  <c:v>5/11/2026</c:v>
                </c:pt>
                <c:pt idx="5">
                  <c:v>5/18/2026</c:v>
                </c:pt>
                <c:pt idx="6">
                  <c:v>5/25/2026</c:v>
                </c:pt>
                <c:pt idx="7">
                  <c:v>6/1/2026</c:v>
                </c:pt>
                <c:pt idx="8">
                  <c:v>6/8/2026</c:v>
                </c:pt>
                <c:pt idx="9">
                  <c:v>6/15/2026</c:v>
                </c:pt>
                <c:pt idx="10">
                  <c:v>6/22/2026</c:v>
                </c:pt>
                <c:pt idx="11">
                  <c:v>6/29/2026</c:v>
                </c:pt>
                <c:pt idx="12">
                  <c:v>7/6/2026</c:v>
                </c:pt>
              </c:strCache>
            </c:strRef>
          </c:cat>
          <c:val>
            <c:numRef>
              <c:f>Data!$D$2:$D$14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500</c:v>
                </c:pt>
                <c:pt idx="8">
                  <c:v>1097</c:v>
                </c:pt>
                <c:pt idx="9">
                  <c:v>2650</c:v>
                </c:pt>
                <c:pt idx="10">
                  <c:v>4200</c:v>
                </c:pt>
                <c:pt idx="11">
                  <c:v>5800</c:v>
                </c:pt>
                <c:pt idx="12">
                  <c:v>7500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 Starting</a:t>
                </a:r>
              </a:p>
            </c:rich>
          </c:tx>
          <c:layout/>
        </c:title>
        <c:tickLblPos val="low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Cumulative Accounts Migrated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t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15</xdr:col>
      <xdr:colOff>38100</xdr:colOff>
      <xdr:row>27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14.7109375" customWidth="1"/>
    <col min="2" max="5" width="18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>
        <v>5</v>
      </c>
      <c r="C2" s="3">
        <v>5</v>
      </c>
      <c r="D2" s="2"/>
      <c r="E2" s="2"/>
    </row>
    <row r="3" spans="1:5">
      <c r="A3" s="2" t="s">
        <v>6</v>
      </c>
      <c r="B3" s="3">
        <v>15</v>
      </c>
      <c r="C3" s="3">
        <v>20</v>
      </c>
      <c r="D3" s="2"/>
      <c r="E3" s="2"/>
    </row>
    <row r="4" spans="1:5">
      <c r="A4" s="2" t="s">
        <v>7</v>
      </c>
      <c r="B4" s="3">
        <v>39</v>
      </c>
      <c r="C4" s="3">
        <v>59</v>
      </c>
      <c r="D4" s="2"/>
      <c r="E4" s="2"/>
    </row>
    <row r="5" spans="1:5">
      <c r="A5" s="2" t="s">
        <v>8</v>
      </c>
      <c r="B5" s="3">
        <v>9</v>
      </c>
      <c r="C5" s="3">
        <v>68</v>
      </c>
      <c r="D5" s="2"/>
      <c r="E5" s="2"/>
    </row>
    <row r="6" spans="1:5">
      <c r="A6" s="2" t="s">
        <v>9</v>
      </c>
      <c r="B6" s="3">
        <v>19</v>
      </c>
      <c r="C6" s="3">
        <v>87</v>
      </c>
      <c r="D6" s="2"/>
      <c r="E6" s="2"/>
    </row>
    <row r="7" spans="1:5">
      <c r="A7" s="2" t="s">
        <v>10</v>
      </c>
      <c r="B7" s="3">
        <v>39</v>
      </c>
      <c r="C7" s="3">
        <v>126</v>
      </c>
      <c r="D7" s="2"/>
      <c r="E7" s="2"/>
    </row>
    <row r="8" spans="1:5">
      <c r="A8" s="2" t="s">
        <v>11</v>
      </c>
      <c r="B8" s="3">
        <v>257</v>
      </c>
      <c r="C8" s="3">
        <v>383</v>
      </c>
      <c r="D8" s="2"/>
      <c r="E8" s="2"/>
    </row>
    <row r="9" spans="1:5">
      <c r="A9" s="2" t="s">
        <v>12</v>
      </c>
      <c r="B9" s="3">
        <v>245</v>
      </c>
      <c r="C9" s="3">
        <v>628</v>
      </c>
      <c r="D9" s="3">
        <v>500</v>
      </c>
      <c r="E9" s="4">
        <v>128</v>
      </c>
    </row>
    <row r="10" spans="1:5">
      <c r="A10" s="2" t="s">
        <v>13</v>
      </c>
      <c r="B10" s="3">
        <v>1004</v>
      </c>
      <c r="C10" s="3">
        <v>1632</v>
      </c>
      <c r="D10" s="3">
        <v>1097</v>
      </c>
      <c r="E10" s="4">
        <v>535</v>
      </c>
    </row>
    <row r="11" spans="1:5">
      <c r="A11" s="2" t="s">
        <v>14</v>
      </c>
      <c r="B11" s="3">
        <v>1944</v>
      </c>
      <c r="C11" s="3">
        <v>3576</v>
      </c>
      <c r="D11" s="3">
        <v>2650</v>
      </c>
      <c r="E11" s="4">
        <v>926</v>
      </c>
    </row>
    <row r="12" spans="1:5">
      <c r="A12" s="2" t="s">
        <v>15</v>
      </c>
      <c r="B12" s="2"/>
      <c r="C12" s="2"/>
      <c r="D12" s="3">
        <v>4200</v>
      </c>
      <c r="E12" s="2"/>
    </row>
    <row r="13" spans="1:5">
      <c r="A13" s="2" t="s">
        <v>16</v>
      </c>
      <c r="B13" s="2"/>
      <c r="C13" s="2"/>
      <c r="D13" s="3">
        <v>5800</v>
      </c>
      <c r="E13" s="2"/>
    </row>
    <row r="14" spans="1:5">
      <c r="A14" s="2" t="s">
        <v>17</v>
      </c>
      <c r="B14" s="2"/>
      <c r="C14" s="2"/>
      <c r="D14" s="3">
        <v>7500</v>
      </c>
      <c r="E1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5" width="14.7109375" customWidth="1"/>
  </cols>
  <sheetData>
    <row r="1" spans="1:5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>
      <c r="A2" s="2" t="s">
        <v>5</v>
      </c>
      <c r="B2" s="3">
        <v>5</v>
      </c>
      <c r="C2" s="3">
        <v>0</v>
      </c>
      <c r="D2" s="3">
        <v>0</v>
      </c>
      <c r="E2" s="3">
        <v>5</v>
      </c>
    </row>
    <row r="3" spans="1:5">
      <c r="A3" s="2" t="s">
        <v>6</v>
      </c>
      <c r="B3" s="3">
        <v>11</v>
      </c>
      <c r="C3" s="3">
        <v>4</v>
      </c>
      <c r="D3" s="3">
        <v>0</v>
      </c>
      <c r="E3" s="3">
        <v>15</v>
      </c>
    </row>
    <row r="4" spans="1:5">
      <c r="A4" s="2" t="s">
        <v>7</v>
      </c>
      <c r="B4" s="3">
        <v>28</v>
      </c>
      <c r="C4" s="3">
        <v>11</v>
      </c>
      <c r="D4" s="3">
        <v>0</v>
      </c>
      <c r="E4" s="3">
        <v>39</v>
      </c>
    </row>
    <row r="5" spans="1:5">
      <c r="A5" s="2" t="s">
        <v>8</v>
      </c>
      <c r="B5" s="3">
        <v>6</v>
      </c>
      <c r="C5" s="3">
        <v>3</v>
      </c>
      <c r="D5" s="3">
        <v>0</v>
      </c>
      <c r="E5" s="3">
        <v>9</v>
      </c>
    </row>
    <row r="6" spans="1:5">
      <c r="A6" s="2" t="s">
        <v>9</v>
      </c>
      <c r="B6" s="3">
        <v>11</v>
      </c>
      <c r="C6" s="3">
        <v>8</v>
      </c>
      <c r="D6" s="3">
        <v>0</v>
      </c>
      <c r="E6" s="3">
        <v>19</v>
      </c>
    </row>
    <row r="7" spans="1:5">
      <c r="A7" s="2" t="s">
        <v>10</v>
      </c>
      <c r="B7" s="3">
        <v>23</v>
      </c>
      <c r="C7" s="3">
        <v>16</v>
      </c>
      <c r="D7" s="3">
        <v>0</v>
      </c>
      <c r="E7" s="3">
        <v>39</v>
      </c>
    </row>
    <row r="8" spans="1:5">
      <c r="A8" s="2" t="s">
        <v>11</v>
      </c>
      <c r="B8" s="3">
        <v>159</v>
      </c>
      <c r="C8" s="3">
        <v>98</v>
      </c>
      <c r="D8" s="3">
        <v>0</v>
      </c>
      <c r="E8" s="3">
        <v>257</v>
      </c>
    </row>
    <row r="9" spans="1:5">
      <c r="A9" s="2" t="s">
        <v>12</v>
      </c>
      <c r="B9" s="3">
        <v>109</v>
      </c>
      <c r="C9" s="3">
        <v>136</v>
      </c>
      <c r="D9" s="3">
        <v>0</v>
      </c>
      <c r="E9" s="3">
        <v>245</v>
      </c>
    </row>
    <row r="10" spans="1:5">
      <c r="A10" s="2" t="s">
        <v>13</v>
      </c>
      <c r="B10" s="3">
        <v>424</v>
      </c>
      <c r="C10" s="3">
        <v>571</v>
      </c>
      <c r="D10" s="3">
        <v>9</v>
      </c>
      <c r="E10" s="3">
        <v>1004</v>
      </c>
    </row>
    <row r="11" spans="1:5">
      <c r="A11" s="2" t="s">
        <v>14</v>
      </c>
      <c r="B11" s="3">
        <v>776</v>
      </c>
      <c r="C11" s="3">
        <v>1159</v>
      </c>
      <c r="D11" s="3">
        <v>9</v>
      </c>
      <c r="E11" s="3">
        <v>1944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cols>
    <col min="1" max="1" width="14.7109375" customWidth="1"/>
    <col min="2" max="3" width="12.7109375" customWidth="1"/>
    <col min="4" max="4" width="8.7109375" customWidth="1"/>
    <col min="5" max="8" width="16.7109375" customWidth="1"/>
    <col min="9" max="11" width="14.7109375" customWidth="1"/>
  </cols>
  <sheetData>
    <row r="1" spans="1:1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</row>
    <row r="2" spans="1:11">
      <c r="A2" s="2" t="s">
        <v>33</v>
      </c>
      <c r="B2" s="2" t="s">
        <v>14</v>
      </c>
      <c r="C2" s="2" t="s">
        <v>34</v>
      </c>
      <c r="D2" s="3">
        <v>50</v>
      </c>
      <c r="E2" s="3">
        <v>142000</v>
      </c>
      <c r="F2" s="3">
        <v>7090000</v>
      </c>
      <c r="G2" s="3">
        <v>11509</v>
      </c>
      <c r="H2" s="3">
        <v>616</v>
      </c>
      <c r="I2" s="2" t="s">
        <v>35</v>
      </c>
      <c r="J2" s="2" t="s">
        <v>36</v>
      </c>
      <c r="K2" s="2" t="s">
        <v>37</v>
      </c>
    </row>
    <row r="3" spans="1:11">
      <c r="A3" s="2" t="s">
        <v>38</v>
      </c>
      <c r="B3" s="2" t="s">
        <v>39</v>
      </c>
      <c r="C3" s="2" t="s">
        <v>40</v>
      </c>
      <c r="D3" s="3">
        <v>50</v>
      </c>
      <c r="E3" s="3">
        <v>227200</v>
      </c>
      <c r="F3" s="3">
        <v>11360000</v>
      </c>
      <c r="G3" s="3">
        <v>8513</v>
      </c>
      <c r="H3" s="3">
        <v>1335</v>
      </c>
      <c r="I3" s="2" t="s">
        <v>41</v>
      </c>
      <c r="J3" s="2" t="s">
        <v>42</v>
      </c>
      <c r="K3" s="2" t="s">
        <v>43</v>
      </c>
    </row>
    <row r="4" spans="1:11">
      <c r="A4" s="2" t="s">
        <v>44</v>
      </c>
      <c r="B4" s="2" t="s">
        <v>45</v>
      </c>
      <c r="C4" s="2" t="s">
        <v>46</v>
      </c>
      <c r="D4" s="3">
        <v>50</v>
      </c>
      <c r="E4" s="3">
        <v>312800</v>
      </c>
      <c r="F4" s="3">
        <v>15640000</v>
      </c>
      <c r="G4" s="3">
        <v>7689</v>
      </c>
      <c r="H4" s="3">
        <v>2034</v>
      </c>
      <c r="I4" s="2" t="s">
        <v>47</v>
      </c>
      <c r="J4" s="2" t="s">
        <v>48</v>
      </c>
      <c r="K4" s="2" t="s">
        <v>49</v>
      </c>
    </row>
    <row r="5" spans="1:11">
      <c r="A5" s="2" t="s">
        <v>50</v>
      </c>
      <c r="B5" s="2" t="s">
        <v>51</v>
      </c>
      <c r="C5" s="2" t="s">
        <v>52</v>
      </c>
      <c r="D5" s="3">
        <v>50</v>
      </c>
      <c r="E5" s="3">
        <v>398200</v>
      </c>
      <c r="F5" s="3">
        <v>19910000</v>
      </c>
      <c r="G5" s="3">
        <v>7290</v>
      </c>
      <c r="H5" s="3">
        <v>2731</v>
      </c>
      <c r="I5" s="2" t="s">
        <v>53</v>
      </c>
      <c r="J5" s="2" t="s">
        <v>54</v>
      </c>
      <c r="K5" s="2" t="s">
        <v>42</v>
      </c>
    </row>
    <row r="6" spans="1:11">
      <c r="A6" s="1" t="s">
        <v>55</v>
      </c>
      <c r="D6" s="3">
        <v>200</v>
      </c>
      <c r="F6" s="3">
        <v>54000000</v>
      </c>
      <c r="G6" s="3">
        <v>35001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4" width="22.7109375" customWidth="1"/>
  </cols>
  <sheetData>
    <row r="1" spans="1:4">
      <c r="A1" s="1" t="s">
        <v>22</v>
      </c>
      <c r="B1" s="1" t="s">
        <v>56</v>
      </c>
      <c r="C1" s="1" t="s">
        <v>57</v>
      </c>
      <c r="D1" s="1" t="s">
        <v>58</v>
      </c>
    </row>
    <row r="2" spans="1:4">
      <c r="A2" s="2" t="s">
        <v>33</v>
      </c>
      <c r="B2" s="2" t="s">
        <v>34</v>
      </c>
      <c r="C2" s="3">
        <v>11509</v>
      </c>
      <c r="D2" s="3">
        <v>11509</v>
      </c>
    </row>
    <row r="3" spans="1:4">
      <c r="A3" s="2" t="s">
        <v>38</v>
      </c>
      <c r="B3" s="2" t="s">
        <v>40</v>
      </c>
      <c r="C3" s="3">
        <v>8513</v>
      </c>
      <c r="D3" s="3">
        <v>20022</v>
      </c>
    </row>
    <row r="4" spans="1:4">
      <c r="A4" s="2" t="s">
        <v>44</v>
      </c>
      <c r="B4" s="2" t="s">
        <v>46</v>
      </c>
      <c r="C4" s="3">
        <v>7689</v>
      </c>
      <c r="D4" s="3">
        <v>27711</v>
      </c>
    </row>
    <row r="5" spans="1:4">
      <c r="A5" s="2" t="s">
        <v>50</v>
      </c>
      <c r="B5" s="2" t="s">
        <v>52</v>
      </c>
      <c r="C5" s="3">
        <v>7290</v>
      </c>
      <c r="D5" s="3">
        <v>35001</v>
      </c>
    </row>
    <row r="7" spans="1:4">
      <c r="A7" s="1" t="s">
        <v>59</v>
      </c>
      <c r="B7" s="2" t="s">
        <v>14</v>
      </c>
      <c r="D7" s="3">
        <v>3576</v>
      </c>
    </row>
    <row r="8" spans="1:4">
      <c r="A8" s="2" t="s">
        <v>60</v>
      </c>
      <c r="D8" s="3">
        <v>277.7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cols>
    <col min="1" max="1" width="32.7109375" customWidth="1"/>
    <col min="2" max="8" width="16.7109375" customWidth="1"/>
  </cols>
  <sheetData>
    <row r="1" spans="1:8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</row>
    <row r="2" spans="1:8">
      <c r="A2" s="2" t="s">
        <v>69</v>
      </c>
      <c r="B2" s="3">
        <v>8500</v>
      </c>
      <c r="C2" s="2" t="s">
        <v>70</v>
      </c>
      <c r="D2" s="3">
        <v>277.7</v>
      </c>
      <c r="E2" s="3">
        <v>17.7</v>
      </c>
      <c r="F2" s="2" t="s">
        <v>71</v>
      </c>
      <c r="G2" s="2" t="s">
        <v>72</v>
      </c>
      <c r="H2" s="5">
        <v>10</v>
      </c>
    </row>
    <row r="3" spans="1:8">
      <c r="A3" s="2" t="s">
        <v>69</v>
      </c>
      <c r="B3" s="3">
        <v>8500</v>
      </c>
      <c r="C3" s="2" t="s">
        <v>73</v>
      </c>
      <c r="D3" s="3">
        <v>230.2</v>
      </c>
      <c r="E3" s="3">
        <v>21.4</v>
      </c>
      <c r="F3" s="2" t="s">
        <v>74</v>
      </c>
      <c r="G3" s="2" t="s">
        <v>72</v>
      </c>
      <c r="H3" s="5">
        <v>6</v>
      </c>
    </row>
    <row r="4" spans="1:8">
      <c r="A4" s="2" t="s">
        <v>69</v>
      </c>
      <c r="B4" s="3">
        <v>8500</v>
      </c>
      <c r="C4" s="2" t="s">
        <v>75</v>
      </c>
      <c r="D4" s="3">
        <v>158.8</v>
      </c>
      <c r="E4" s="3">
        <v>31</v>
      </c>
      <c r="F4" s="2" t="s">
        <v>76</v>
      </c>
      <c r="G4" s="2" t="s">
        <v>72</v>
      </c>
      <c r="H4" s="4">
        <v>-3</v>
      </c>
    </row>
    <row r="5" spans="1:8">
      <c r="A5" s="2" t="s">
        <v>77</v>
      </c>
      <c r="B5" s="3">
        <v>11509</v>
      </c>
      <c r="C5" s="2" t="s">
        <v>70</v>
      </c>
      <c r="D5" s="3">
        <v>277.7</v>
      </c>
      <c r="E5" s="3">
        <v>28.6</v>
      </c>
      <c r="F5" s="2" t="s">
        <v>78</v>
      </c>
      <c r="G5" s="2" t="s">
        <v>34</v>
      </c>
      <c r="H5" s="5">
        <v>20</v>
      </c>
    </row>
    <row r="6" spans="1:8">
      <c r="A6" s="2" t="s">
        <v>77</v>
      </c>
      <c r="B6" s="3">
        <v>11509</v>
      </c>
      <c r="C6" s="2" t="s">
        <v>73</v>
      </c>
      <c r="D6" s="3">
        <v>230.2</v>
      </c>
      <c r="E6" s="3">
        <v>34.5</v>
      </c>
      <c r="F6" s="2" t="s">
        <v>79</v>
      </c>
      <c r="G6" s="2" t="s">
        <v>34</v>
      </c>
      <c r="H6" s="5">
        <v>14</v>
      </c>
    </row>
    <row r="7" spans="1:8">
      <c r="A7" s="2" t="s">
        <v>77</v>
      </c>
      <c r="B7" s="3">
        <v>11509</v>
      </c>
      <c r="C7" s="2" t="s">
        <v>75</v>
      </c>
      <c r="D7" s="3">
        <v>158.8</v>
      </c>
      <c r="E7" s="3">
        <v>49.9</v>
      </c>
      <c r="F7" s="2" t="s">
        <v>80</v>
      </c>
      <c r="G7" s="2" t="s">
        <v>34</v>
      </c>
      <c r="H7" s="4">
        <v>-1</v>
      </c>
    </row>
    <row r="8" spans="1:8">
      <c r="A8" s="2" t="s">
        <v>81</v>
      </c>
      <c r="B8" s="3">
        <v>35001</v>
      </c>
      <c r="C8" s="2" t="s">
        <v>70</v>
      </c>
      <c r="D8" s="3">
        <v>277.7</v>
      </c>
      <c r="E8" s="3">
        <v>113.2</v>
      </c>
      <c r="F8" s="2" t="s">
        <v>82</v>
      </c>
      <c r="G8" s="2" t="s">
        <v>52</v>
      </c>
      <c r="H8" s="5">
        <v>85</v>
      </c>
    </row>
    <row r="9" spans="1:8">
      <c r="A9" s="2" t="s">
        <v>81</v>
      </c>
      <c r="B9" s="3">
        <v>35001</v>
      </c>
      <c r="C9" s="2" t="s">
        <v>73</v>
      </c>
      <c r="D9" s="3">
        <v>230.2</v>
      </c>
      <c r="E9" s="3">
        <v>136.5</v>
      </c>
      <c r="F9" s="2" t="s">
        <v>83</v>
      </c>
      <c r="G9" s="2" t="s">
        <v>52</v>
      </c>
      <c r="H9" s="5">
        <v>62</v>
      </c>
    </row>
    <row r="10" spans="1:8">
      <c r="A10" s="2" t="s">
        <v>81</v>
      </c>
      <c r="B10" s="3">
        <v>35001</v>
      </c>
      <c r="C10" s="2" t="s">
        <v>75</v>
      </c>
      <c r="D10" s="3">
        <v>158.8</v>
      </c>
      <c r="E10" s="3">
        <v>197.8</v>
      </c>
      <c r="F10" s="2" t="s">
        <v>84</v>
      </c>
      <c r="G10" s="2" t="s">
        <v>52</v>
      </c>
      <c r="H10" s="5">
        <v>1</v>
      </c>
    </row>
    <row r="12" spans="1:8">
      <c r="A12" s="6" t="s">
        <v>85</v>
      </c>
    </row>
    <row r="13" spans="1:8">
      <c r="A13" s="6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8"/>
  <sheetViews>
    <sheetView showGridLines="0" workbookViewId="0"/>
  </sheetViews>
  <sheetFormatPr defaultRowHeight="15"/>
  <sheetData>
    <row r="28" spans="2:2">
      <c r="B28" s="6" t="s">
        <v>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Weekly Detail</vt:lpstr>
      <vt:lpstr>Migration Phases</vt:lpstr>
      <vt:lpstr>Phase Timeline</vt:lpstr>
      <vt:lpstr>Projections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2026-06-22T14:39:27Z</dcterms:created>
  <dcterms:modified xsi:type="dcterms:W3CDTF">2026-06-22T14:39:27Z</dcterms:modified>
</cp:coreProperties>
</file>